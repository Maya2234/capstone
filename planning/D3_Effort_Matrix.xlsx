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ffort Matrix"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<sst xmlns="http://schemas.openxmlformats.org/spreadsheetml/2006/main" count="67" uniqueCount="52">
  <si>
    <t xml:space="preserve">Table 2, Effort Matrix — CardStack</t>
  </si>
  <si>
    <t xml:space="preserve">Estimated effort in hours. Blue = editable estimates; green highlight = member with primary responsibility (owner).</t>
  </si>
  <si>
    <t xml:space="preserve">ID</t>
  </si>
  <si>
    <t xml:space="preserve">Task</t>
  </si>
  <si>
    <t xml:space="preserve">Owner</t>
  </si>
  <si>
    <t xml:space="preserve">Maya (hrs)</t>
  </si>
  <si>
    <t xml:space="preserve">Luke (hrs)</t>
  </si>
  <si>
    <t xml:space="preserve">Total (hrs)</t>
  </si>
  <si>
    <t xml:space="preserve">Owner share</t>
  </si>
  <si>
    <t xml:space="preserve">T-01</t>
  </si>
  <si>
    <t xml:space="preserve">Checkout button embed script</t>
  </si>
  <si>
    <t xml:space="preserve">Luke</t>
  </si>
  <si>
    <t xml:space="preserve">T-02</t>
  </si>
  <si>
    <t xml:space="preserve">GET /button/{id} validation</t>
  </si>
  <si>
    <t xml:space="preserve">T-03</t>
  </si>
  <si>
    <t xml:space="preserve">Google OAuth verification</t>
  </si>
  <si>
    <t xml:space="preserve">Maya</t>
  </si>
  <si>
    <t xml:space="preserve">T-04</t>
  </si>
  <si>
    <t xml:space="preserve">Auth &amp; logout routes</t>
  </si>
  <si>
    <t xml:space="preserve">T-05</t>
  </si>
  <si>
    <t xml:space="preserve">Supabase core schema</t>
  </si>
  <si>
    <t xml:space="preserve">T-06</t>
  </si>
  <si>
    <t xml:space="preserve">Card &amp; reward rule schema</t>
  </si>
  <si>
    <t xml:space="preserve">T-07</t>
  </si>
  <si>
    <t xml:space="preserve">Card selection algorithm</t>
  </si>
  <si>
    <t xml:space="preserve">T-08</t>
  </si>
  <si>
    <t xml:space="preserve">POST /select-card endpoint</t>
  </si>
  <si>
    <t xml:space="preserve">T-09</t>
  </si>
  <si>
    <t xml:space="preserve">Card Processing integration</t>
  </si>
  <si>
    <t xml:space="preserve">T-10</t>
  </si>
  <si>
    <t xml:space="preserve">Transaction state machine</t>
  </si>
  <si>
    <t xml:space="preserve">T-11</t>
  </si>
  <si>
    <t xml:space="preserve">Plaid webhook setup test</t>
  </si>
  <si>
    <t xml:space="preserve">T-12</t>
  </si>
  <si>
    <t xml:space="preserve">Merchant webhook queue</t>
  </si>
  <si>
    <t xml:space="preserve">T-13</t>
  </si>
  <si>
    <t xml:space="preserve">Transaction history API</t>
  </si>
  <si>
    <t xml:space="preserve">T-14</t>
  </si>
  <si>
    <t xml:space="preserve">Receipt forwarding queue</t>
  </si>
  <si>
    <t xml:space="preserve">T-15</t>
  </si>
  <si>
    <t xml:space="preserve">React Native mobile app screens</t>
  </si>
  <si>
    <t xml:space="preserve">T-16</t>
  </si>
  <si>
    <t xml:space="preserve">React Native web portal screens</t>
  </si>
  <si>
    <t xml:space="preserve">T-17</t>
  </si>
  <si>
    <t xml:space="preserve">End-to-end integration testing</t>
  </si>
  <si>
    <t xml:space="preserve">Total</t>
  </si>
  <si>
    <t xml:space="preserve">Share of total</t>
  </si>
  <si>
    <t xml:space="preserve">Check: owner carries largest share on every row</t>
  </si>
  <si>
    <t xml:space="preserve">Notes</t>
  </si>
  <si>
    <t xml:space="preserve">Each owner carries most of the hours on their own task; the other member's hours cover code review, pair programming and testing. Riskier tasks (T-07, T-09, T-17) get more support hours.</t>
  </si>
  <si>
    <t xml:space="preserve">Balance: The columns are close (Maya 48%, Luke 52%). Splitting the client apps into T-15 (mobile, Luke) and T-16 (web portal, Maya) moved about 20 hours off Luke's column; the remaining gap comes from T-17, owned by Luke as test owner, offset by Maya leading final demo preparation before M13. We will compare actual hours to this matrix at each milestone and reassign work if the gap grows past 10%.</t>
  </si>
  <si>
    <t xml:space="preserve">Hours are draft estimates sized to the Table 1 windows; confirm with each owner (optionally using (O + 4M + P) / 6).</t>
  </si>
</sst>
</file>

<file path=xl/styles.xml><?xml version="1.0" encoding="utf-8"?>
<styleSheet xmlns="http://schemas.openxmlformats.org/spreadsheetml/2006/main">
  <numFmts count="3">
    <numFmt numFmtId="164" formatCode="General"/>
    <numFmt numFmtId="165" formatCode="0%"/>
    <numFmt numFmtId="166"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1"/>
      <color rgb="FFFFFFFF"/>
      <name val="Arial"/>
      <family val="0"/>
      <charset val="1"/>
    </font>
    <font>
      <sz val="11"/>
      <name val="Arial"/>
      <family val="0"/>
      <charset val="1"/>
    </font>
    <font>
      <sz val="11"/>
      <color rgb="FF0000FF"/>
      <name val="Arial"/>
      <family val="0"/>
      <charset val="1"/>
    </font>
    <font>
      <b val="true"/>
      <sz val="11"/>
      <color rgb="FF0000FF"/>
      <name val="Arial"/>
      <family val="0"/>
      <charset val="1"/>
    </font>
    <font>
      <b val="true"/>
      <sz val="11"/>
      <name val="Arial"/>
      <family val="0"/>
      <charset val="1"/>
    </font>
    <font>
      <sz val="10"/>
      <name val="Arial"/>
      <family val="0"/>
      <charset val="1"/>
    </font>
  </fonts>
  <fills count="5">
    <fill>
      <patternFill patternType="none"/>
    </fill>
    <fill>
      <patternFill patternType="gray125"/>
    </fill>
    <fill>
      <patternFill patternType="solid">
        <fgColor rgb="FF3B2A6B"/>
        <bgColor rgb="FF333333"/>
      </patternFill>
    </fill>
    <fill>
      <patternFill patternType="solid">
        <fgColor rgb="FFD9EAD3"/>
        <bgColor rgb="FFEDE7F6"/>
      </patternFill>
    </fill>
    <fill>
      <patternFill patternType="solid">
        <fgColor rgb="FFEDE7F6"/>
        <bgColor rgb="FFD9EAD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true" applyProtection="false">
      <alignment horizontal="center" vertical="bottom" textRotation="0" wrapText="false" indent="0" shrinkToFit="false"/>
      <protection locked="true" hidden="false"/>
    </xf>
    <xf numFmtId="165" fontId="10" fillId="4"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7F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B2A6B"/>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9"/>
    <col collapsed="false" customWidth="true" hidden="false" outlineLevel="0" max="6" min="4" style="0" width="12"/>
    <col collapsed="false" customWidth="true" hidden="false" outlineLevel="0" max="7" min="7" style="0" width="13"/>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c r="G4" s="3" t="s">
        <v>8</v>
      </c>
    </row>
    <row r="5" customFormat="false" ht="15" hidden="false" customHeight="false" outlineLevel="0" collapsed="false">
      <c r="A5" s="4" t="s">
        <v>9</v>
      </c>
      <c r="B5" s="4" t="s">
        <v>10</v>
      </c>
      <c r="C5" s="5" t="s">
        <v>11</v>
      </c>
      <c r="D5" s="6" t="n">
        <v>4</v>
      </c>
      <c r="E5" s="7" t="n">
        <v>16</v>
      </c>
      <c r="F5" s="5" t="n">
        <f aca="false">D5+E5</f>
        <v>20</v>
      </c>
      <c r="G5" s="8" t="n">
        <f aca="false">IF(C5="Maya",D5,E5)/F5</f>
        <v>0.8</v>
      </c>
    </row>
    <row r="6" customFormat="false" ht="15" hidden="false" customHeight="false" outlineLevel="0" collapsed="false">
      <c r="A6" s="4" t="s">
        <v>12</v>
      </c>
      <c r="B6" s="4" t="s">
        <v>13</v>
      </c>
      <c r="C6" s="5" t="s">
        <v>11</v>
      </c>
      <c r="D6" s="6" t="n">
        <v>2</v>
      </c>
      <c r="E6" s="7" t="n">
        <v>10</v>
      </c>
      <c r="F6" s="5" t="n">
        <f aca="false">D6+E6</f>
        <v>12</v>
      </c>
      <c r="G6" s="8" t="n">
        <f aca="false">IF(C6="Maya",D6,E6)/F6</f>
        <v>0.833333333333333</v>
      </c>
    </row>
    <row r="7" customFormat="false" ht="15" hidden="false" customHeight="false" outlineLevel="0" collapsed="false">
      <c r="A7" s="4" t="s">
        <v>14</v>
      </c>
      <c r="B7" s="4" t="s">
        <v>15</v>
      </c>
      <c r="C7" s="5" t="s">
        <v>16</v>
      </c>
      <c r="D7" s="7" t="n">
        <v>12</v>
      </c>
      <c r="E7" s="6" t="n">
        <v>2</v>
      </c>
      <c r="F7" s="5" t="n">
        <f aca="false">D7+E7</f>
        <v>14</v>
      </c>
      <c r="G7" s="8" t="n">
        <f aca="false">IF(C7="Maya",D7,E7)/F7</f>
        <v>0.857142857142857</v>
      </c>
    </row>
    <row r="8" customFormat="false" ht="15" hidden="false" customHeight="false" outlineLevel="0" collapsed="false">
      <c r="A8" s="4" t="s">
        <v>17</v>
      </c>
      <c r="B8" s="4" t="s">
        <v>18</v>
      </c>
      <c r="C8" s="5" t="s">
        <v>16</v>
      </c>
      <c r="D8" s="7" t="n">
        <v>12</v>
      </c>
      <c r="E8" s="6" t="n">
        <v>2</v>
      </c>
      <c r="F8" s="5" t="n">
        <f aca="false">D8+E8</f>
        <v>14</v>
      </c>
      <c r="G8" s="8" t="n">
        <f aca="false">IF(C8="Maya",D8,E8)/F8</f>
        <v>0.857142857142857</v>
      </c>
    </row>
    <row r="9" customFormat="false" ht="15" hidden="false" customHeight="false" outlineLevel="0" collapsed="false">
      <c r="A9" s="4" t="s">
        <v>19</v>
      </c>
      <c r="B9" s="4" t="s">
        <v>20</v>
      </c>
      <c r="C9" s="5" t="s">
        <v>16</v>
      </c>
      <c r="D9" s="7" t="n">
        <v>10</v>
      </c>
      <c r="E9" s="6" t="n">
        <v>2</v>
      </c>
      <c r="F9" s="5" t="n">
        <f aca="false">D9+E9</f>
        <v>12</v>
      </c>
      <c r="G9" s="8" t="n">
        <f aca="false">IF(C9="Maya",D9,E9)/F9</f>
        <v>0.833333333333333</v>
      </c>
    </row>
    <row r="10" customFormat="false" ht="15" hidden="false" customHeight="false" outlineLevel="0" collapsed="false">
      <c r="A10" s="4" t="s">
        <v>21</v>
      </c>
      <c r="B10" s="4" t="s">
        <v>22</v>
      </c>
      <c r="C10" s="5" t="s">
        <v>16</v>
      </c>
      <c r="D10" s="7" t="n">
        <v>14</v>
      </c>
      <c r="E10" s="6" t="n">
        <v>4</v>
      </c>
      <c r="F10" s="5" t="n">
        <f aca="false">D10+E10</f>
        <v>18</v>
      </c>
      <c r="G10" s="8" t="n">
        <f aca="false">IF(C10="Maya",D10,E10)/F10</f>
        <v>0.777777777777778</v>
      </c>
    </row>
    <row r="11" customFormat="false" ht="15" hidden="false" customHeight="false" outlineLevel="0" collapsed="false">
      <c r="A11" s="4" t="s">
        <v>23</v>
      </c>
      <c r="B11" s="4" t="s">
        <v>24</v>
      </c>
      <c r="C11" s="5" t="s">
        <v>11</v>
      </c>
      <c r="D11" s="6" t="n">
        <v>6</v>
      </c>
      <c r="E11" s="7" t="n">
        <v>18</v>
      </c>
      <c r="F11" s="5" t="n">
        <f aca="false">D11+E11</f>
        <v>24</v>
      </c>
      <c r="G11" s="8" t="n">
        <f aca="false">IF(C11="Maya",D11,E11)/F11</f>
        <v>0.75</v>
      </c>
    </row>
    <row r="12" customFormat="false" ht="15" hidden="false" customHeight="false" outlineLevel="0" collapsed="false">
      <c r="A12" s="4" t="s">
        <v>25</v>
      </c>
      <c r="B12" s="4" t="s">
        <v>26</v>
      </c>
      <c r="C12" s="5" t="s">
        <v>11</v>
      </c>
      <c r="D12" s="6" t="n">
        <v>2</v>
      </c>
      <c r="E12" s="7" t="n">
        <v>10</v>
      </c>
      <c r="F12" s="5" t="n">
        <f aca="false">D12+E12</f>
        <v>12</v>
      </c>
      <c r="G12" s="8" t="n">
        <f aca="false">IF(C12="Maya",D12,E12)/F12</f>
        <v>0.833333333333333</v>
      </c>
    </row>
    <row r="13" customFormat="false" ht="15" hidden="false" customHeight="false" outlineLevel="0" collapsed="false">
      <c r="A13" s="4" t="s">
        <v>27</v>
      </c>
      <c r="B13" s="4" t="s">
        <v>28</v>
      </c>
      <c r="C13" s="5" t="s">
        <v>11</v>
      </c>
      <c r="D13" s="6" t="n">
        <v>8</v>
      </c>
      <c r="E13" s="7" t="n">
        <v>22</v>
      </c>
      <c r="F13" s="5" t="n">
        <f aca="false">D13+E13</f>
        <v>30</v>
      </c>
      <c r="G13" s="8" t="n">
        <f aca="false">IF(C13="Maya",D13,E13)/F13</f>
        <v>0.733333333333333</v>
      </c>
    </row>
    <row r="14" customFormat="false" ht="15" hidden="false" customHeight="false" outlineLevel="0" collapsed="false">
      <c r="A14" s="4" t="s">
        <v>29</v>
      </c>
      <c r="B14" s="4" t="s">
        <v>30</v>
      </c>
      <c r="C14" s="5" t="s">
        <v>16</v>
      </c>
      <c r="D14" s="7" t="n">
        <v>14</v>
      </c>
      <c r="E14" s="6" t="n">
        <v>4</v>
      </c>
      <c r="F14" s="5" t="n">
        <f aca="false">D14+E14</f>
        <v>18</v>
      </c>
      <c r="G14" s="8" t="n">
        <f aca="false">IF(C14="Maya",D14,E14)/F14</f>
        <v>0.777777777777778</v>
      </c>
    </row>
    <row r="15" customFormat="false" ht="15" hidden="false" customHeight="false" outlineLevel="0" collapsed="false">
      <c r="A15" s="4" t="s">
        <v>31</v>
      </c>
      <c r="B15" s="4" t="s">
        <v>32</v>
      </c>
      <c r="C15" s="5" t="s">
        <v>16</v>
      </c>
      <c r="D15" s="7" t="n">
        <v>16</v>
      </c>
      <c r="E15" s="6" t="n">
        <v>4</v>
      </c>
      <c r="F15" s="5" t="n">
        <f aca="false">D15+E15</f>
        <v>20</v>
      </c>
      <c r="G15" s="8" t="n">
        <f aca="false">IF(C15="Maya",D15,E15)/F15</f>
        <v>0.8</v>
      </c>
    </row>
    <row r="16" customFormat="false" ht="15" hidden="false" customHeight="false" outlineLevel="0" collapsed="false">
      <c r="A16" s="4" t="s">
        <v>33</v>
      </c>
      <c r="B16" s="4" t="s">
        <v>34</v>
      </c>
      <c r="C16" s="5" t="s">
        <v>11</v>
      </c>
      <c r="D16" s="6" t="n">
        <v>4</v>
      </c>
      <c r="E16" s="7" t="n">
        <v>14</v>
      </c>
      <c r="F16" s="5" t="n">
        <f aca="false">D16+E16</f>
        <v>18</v>
      </c>
      <c r="G16" s="8" t="n">
        <f aca="false">IF(C16="Maya",D16,E16)/F16</f>
        <v>0.777777777777778</v>
      </c>
    </row>
    <row r="17" customFormat="false" ht="15" hidden="false" customHeight="false" outlineLevel="0" collapsed="false">
      <c r="A17" s="4" t="s">
        <v>35</v>
      </c>
      <c r="B17" s="4" t="s">
        <v>36</v>
      </c>
      <c r="C17" s="5" t="s">
        <v>11</v>
      </c>
      <c r="D17" s="6" t="n">
        <v>2</v>
      </c>
      <c r="E17" s="7" t="n">
        <v>10</v>
      </c>
      <c r="F17" s="5" t="n">
        <f aca="false">D17+E17</f>
        <v>12</v>
      </c>
      <c r="G17" s="8" t="n">
        <f aca="false">IF(C17="Maya",D17,E17)/F17</f>
        <v>0.833333333333333</v>
      </c>
    </row>
    <row r="18" customFormat="false" ht="15" hidden="false" customHeight="false" outlineLevel="0" collapsed="false">
      <c r="A18" s="4" t="s">
        <v>37</v>
      </c>
      <c r="B18" s="4" t="s">
        <v>38</v>
      </c>
      <c r="C18" s="5" t="s">
        <v>16</v>
      </c>
      <c r="D18" s="7" t="n">
        <v>12</v>
      </c>
      <c r="E18" s="6" t="n">
        <v>2</v>
      </c>
      <c r="F18" s="5" t="n">
        <f aca="false">D18+E18</f>
        <v>14</v>
      </c>
      <c r="G18" s="8" t="n">
        <f aca="false">IF(C18="Maya",D18,E18)/F18</f>
        <v>0.857142857142857</v>
      </c>
    </row>
    <row r="19" customFormat="false" ht="15" hidden="false" customHeight="false" outlineLevel="0" collapsed="false">
      <c r="A19" s="4" t="s">
        <v>39</v>
      </c>
      <c r="B19" s="4" t="s">
        <v>40</v>
      </c>
      <c r="C19" s="5" t="s">
        <v>11</v>
      </c>
      <c r="D19" s="6" t="n">
        <v>4</v>
      </c>
      <c r="E19" s="7" t="n">
        <v>16</v>
      </c>
      <c r="F19" s="5" t="n">
        <f aca="false">D19+E19</f>
        <v>20</v>
      </c>
      <c r="G19" s="8" t="n">
        <f aca="false">IF(C19="Maya",D19,E19)/F19</f>
        <v>0.8</v>
      </c>
    </row>
    <row r="20" customFormat="false" ht="15" hidden="false" customHeight="false" outlineLevel="0" collapsed="false">
      <c r="A20" s="4" t="s">
        <v>41</v>
      </c>
      <c r="B20" s="4" t="s">
        <v>42</v>
      </c>
      <c r="C20" s="5" t="s">
        <v>16</v>
      </c>
      <c r="D20" s="7" t="n">
        <v>14</v>
      </c>
      <c r="E20" s="6" t="n">
        <v>6</v>
      </c>
      <c r="F20" s="5" t="n">
        <f aca="false">D20+E20</f>
        <v>20</v>
      </c>
      <c r="G20" s="8" t="n">
        <f aca="false">IF(C20="Maya",D20,E20)/F20</f>
        <v>0.7</v>
      </c>
    </row>
    <row r="21" customFormat="false" ht="15" hidden="false" customHeight="false" outlineLevel="0" collapsed="false">
      <c r="A21" s="4" t="s">
        <v>43</v>
      </c>
      <c r="B21" s="4" t="s">
        <v>44</v>
      </c>
      <c r="C21" s="5" t="s">
        <v>11</v>
      </c>
      <c r="D21" s="6" t="n">
        <v>8</v>
      </c>
      <c r="E21" s="7" t="n">
        <v>14</v>
      </c>
      <c r="F21" s="5" t="n">
        <f aca="false">D21+E21</f>
        <v>22</v>
      </c>
      <c r="G21" s="8" t="n">
        <f aca="false">IF(C21="Maya",D21,E21)/F21</f>
        <v>0.636363636363636</v>
      </c>
    </row>
    <row r="22" customFormat="false" ht="15" hidden="false" customHeight="false" outlineLevel="0" collapsed="false">
      <c r="A22" s="9" t="s">
        <v>45</v>
      </c>
      <c r="B22" s="10"/>
      <c r="C22" s="10"/>
      <c r="D22" s="11" t="n">
        <f aca="false">SUM(D5:D21)</f>
        <v>144</v>
      </c>
      <c r="E22" s="11" t="n">
        <f aca="false">SUM(E5:E21)</f>
        <v>156</v>
      </c>
      <c r="F22" s="11" t="n">
        <f aca="false">SUM(F5:F21)</f>
        <v>300</v>
      </c>
      <c r="G22" s="10"/>
    </row>
    <row r="23" customFormat="false" ht="15" hidden="false" customHeight="false" outlineLevel="0" collapsed="false">
      <c r="A23" s="9" t="s">
        <v>46</v>
      </c>
      <c r="B23" s="10"/>
      <c r="C23" s="10"/>
      <c r="D23" s="12" t="n">
        <f aca="false">D22/$F$22</f>
        <v>0.48</v>
      </c>
      <c r="E23" s="12" t="n">
        <f aca="false">E22/$F$22</f>
        <v>0.52</v>
      </c>
      <c r="F23" s="10"/>
      <c r="G23" s="10"/>
    </row>
    <row r="25" customFormat="false" ht="15" hidden="false" customHeight="false" outlineLevel="0" collapsed="false">
      <c r="A25" s="13" t="s">
        <v>47</v>
      </c>
      <c r="D25" s="13" t="str">
        <f aca="false">IF(SUMPRODUCT((C5:C21="Maya")*(D5:D21&lt;=E5:E21))+SUMPRODUCT((C5:C21="Luke")*(E5:E21&lt;=D5:D21))=0,"OK","Fix owner hours")</f>
        <v>OK</v>
      </c>
    </row>
    <row r="27" customFormat="false" ht="15" hidden="false" customHeight="false" outlineLevel="0" collapsed="false">
      <c r="A27" s="13" t="s">
        <v>48</v>
      </c>
    </row>
    <row r="28" customFormat="false" ht="30" hidden="false" customHeight="true" outlineLevel="0" collapsed="false">
      <c r="A28" s="14" t="s">
        <v>49</v>
      </c>
      <c r="B28" s="14"/>
      <c r="C28" s="14"/>
      <c r="D28" s="14"/>
      <c r="E28" s="14"/>
      <c r="F28" s="14"/>
      <c r="G28" s="14"/>
    </row>
    <row r="29" customFormat="false" ht="57.75" hidden="false" customHeight="true" outlineLevel="0" collapsed="false">
      <c r="A29" s="14" t="s">
        <v>50</v>
      </c>
      <c r="B29" s="14"/>
      <c r="C29" s="14"/>
      <c r="D29" s="14"/>
      <c r="E29" s="14"/>
      <c r="F29" s="14"/>
      <c r="G29" s="14"/>
    </row>
    <row r="30" customFormat="false" ht="30" hidden="false" customHeight="true" outlineLevel="0" collapsed="false">
      <c r="A30" s="14" t="s">
        <v>51</v>
      </c>
      <c r="B30" s="14"/>
      <c r="C30" s="14"/>
      <c r="D30" s="14"/>
      <c r="E30" s="14"/>
      <c r="F30" s="14"/>
      <c r="G30" s="14"/>
    </row>
  </sheetData>
  <mergeCells count="3">
    <mergeCell ref="A28:G28"/>
    <mergeCell ref="A29:G29"/>
    <mergeCell ref="A30: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2026-10-28T03:36:05Z</dcterms:created>
  <dc:creator>openpyxl</dc:creator>
  <dc:description/>
  <dc:language>en-US</dc:language>
  <cp:lastModifiedBy/>
  <dcterms:modified xsi:type="dcterms:W3CDTF">2026-10-28T03:36:05Z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